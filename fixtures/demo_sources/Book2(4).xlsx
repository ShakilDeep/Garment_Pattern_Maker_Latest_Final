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kil\Desktop\Farhana APU Grament Work\"/>
    </mc:Choice>
  </mc:AlternateContent>
  <xr:revisionPtr revIDLastSave="0" documentId="8_{8C0D0DED-903E-4E7F-8D9F-885E3232E9A0}" xr6:coauthVersionLast="47" xr6:coauthVersionMax="47" xr10:uidLastSave="{00000000-0000-0000-0000-000000000000}"/>
  <bookViews>
    <workbookView xWindow="4530" yWindow="4530" windowWidth="21600" windowHeight="11295" xr2:uid="{4DF9FE7D-99D0-4D67-8B7C-BF514245B2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5" i="1" l="1"/>
  <c r="I35" i="1" s="1"/>
  <c r="J35" i="1" s="1"/>
  <c r="F35" i="1"/>
  <c r="E35" i="1" s="1"/>
  <c r="H34" i="1"/>
  <c r="I34" i="1" s="1"/>
  <c r="J34" i="1" s="1"/>
  <c r="F34" i="1"/>
  <c r="E34" i="1"/>
  <c r="H30" i="1"/>
  <c r="I30" i="1" s="1"/>
  <c r="J30" i="1" s="1"/>
  <c r="F30" i="1"/>
  <c r="E30" i="1"/>
  <c r="H29" i="1"/>
  <c r="I29" i="1" s="1"/>
  <c r="J29" i="1" s="1"/>
  <c r="F29" i="1"/>
  <c r="E29" i="1" s="1"/>
  <c r="H25" i="1"/>
  <c r="I25" i="1" s="1"/>
  <c r="J25" i="1" s="1"/>
  <c r="F25" i="1"/>
  <c r="E25" i="1"/>
  <c r="H23" i="1"/>
  <c r="I23" i="1" s="1"/>
  <c r="J23" i="1" s="1"/>
  <c r="F23" i="1"/>
  <c r="E23" i="1"/>
  <c r="I22" i="1"/>
  <c r="J22" i="1" s="1"/>
  <c r="H22" i="1"/>
  <c r="F22" i="1"/>
  <c r="E22" i="1"/>
  <c r="H21" i="1"/>
  <c r="I21" i="1" s="1"/>
  <c r="J21" i="1" s="1"/>
  <c r="F21" i="1"/>
  <c r="E21" i="1"/>
  <c r="H20" i="1"/>
  <c r="I20" i="1" s="1"/>
  <c r="J20" i="1" s="1"/>
  <c r="F20" i="1"/>
  <c r="E20" i="1"/>
  <c r="H19" i="1"/>
  <c r="I19" i="1" s="1"/>
  <c r="J19" i="1" s="1"/>
  <c r="F19" i="1"/>
  <c r="E19" i="1" s="1"/>
  <c r="H18" i="1"/>
  <c r="I18" i="1" s="1"/>
  <c r="J18" i="1" s="1"/>
  <c r="F18" i="1"/>
  <c r="E18" i="1"/>
  <c r="H17" i="1"/>
  <c r="I17" i="1" s="1"/>
  <c r="J17" i="1" s="1"/>
  <c r="F17" i="1"/>
  <c r="E17" i="1"/>
  <c r="I16" i="1"/>
  <c r="J16" i="1" s="1"/>
  <c r="H16" i="1"/>
  <c r="F16" i="1"/>
  <c r="E16" i="1" s="1"/>
  <c r="H10" i="1"/>
  <c r="I10" i="1" s="1"/>
  <c r="J10" i="1" s="1"/>
  <c r="F10" i="1"/>
  <c r="E10" i="1"/>
  <c r="H9" i="1"/>
  <c r="I9" i="1" s="1"/>
  <c r="J9" i="1" s="1"/>
  <c r="F9" i="1"/>
  <c r="E9" i="1"/>
  <c r="I8" i="1"/>
  <c r="J8" i="1" s="1"/>
  <c r="H7" i="1"/>
  <c r="I7" i="1" s="1"/>
  <c r="J7" i="1" s="1"/>
  <c r="F7" i="1"/>
  <c r="E7" i="1" s="1"/>
  <c r="H6" i="1"/>
  <c r="I6" i="1" s="1"/>
  <c r="J6" i="1" s="1"/>
  <c r="F6" i="1"/>
  <c r="E6" i="1"/>
  <c r="H5" i="1"/>
  <c r="I5" i="1" s="1"/>
  <c r="J5" i="1" s="1"/>
  <c r="F5" i="1"/>
  <c r="E5" i="1"/>
</calcChain>
</file>

<file path=xl/sharedStrings.xml><?xml version="1.0" encoding="utf-8"?>
<sst xmlns="http://schemas.openxmlformats.org/spreadsheetml/2006/main" count="109" uniqueCount="89">
  <si>
    <t>Codes</t>
  </si>
  <si>
    <t>MEASUREMENTS POINTS</t>
  </si>
  <si>
    <t>S</t>
  </si>
  <si>
    <t>M</t>
  </si>
  <si>
    <t>L</t>
  </si>
  <si>
    <t>XL</t>
  </si>
  <si>
    <t>XXL</t>
  </si>
  <si>
    <t>3XL</t>
  </si>
  <si>
    <t>TOLERANCE  (+),(-)</t>
  </si>
  <si>
    <r>
      <t xml:space="preserve">* </t>
    </r>
    <r>
      <rPr>
        <b/>
        <sz val="11"/>
        <rFont val="Calibri"/>
        <family val="2"/>
        <charset val="162"/>
      </rPr>
      <t xml:space="preserve">BACK LENGTH  HPS </t>
    </r>
  </si>
  <si>
    <t>ARKA OMUZDAN (yaka kenarından) ARKA BEDEN BOY</t>
  </si>
  <si>
    <r>
      <t>*</t>
    </r>
    <r>
      <rPr>
        <b/>
        <sz val="11"/>
        <rFont val="Calibri"/>
        <family val="2"/>
        <charset val="162"/>
      </rPr>
      <t xml:space="preserve"> FRONT LENGTH FROM NECK HPS </t>
    </r>
  </si>
  <si>
    <t>ÖN OMUZDAN (yaka kenarından) ÖN BEDEN BOY</t>
  </si>
  <si>
    <t>10145-A</t>
  </si>
  <si>
    <r>
      <rPr>
        <b/>
        <sz val="11"/>
        <color indexed="10"/>
        <rFont val="Calibri"/>
        <family val="2"/>
        <charset val="162"/>
      </rPr>
      <t>*</t>
    </r>
    <r>
      <rPr>
        <b/>
        <sz val="11"/>
        <rFont val="Calibri"/>
        <family val="2"/>
        <charset val="162"/>
      </rPr>
      <t xml:space="preserve"> CHEST 1cm below underarm seam</t>
    </r>
  </si>
  <si>
    <t>GÖGÜS KOLEVİ ALTINDAN 1 CM AŞAĞIDAN</t>
  </si>
  <si>
    <t>WAIST POSITION FM HPS</t>
  </si>
  <si>
    <t>OMUZDAN BEL YERI</t>
  </si>
  <si>
    <r>
      <rPr>
        <b/>
        <sz val="11"/>
        <color indexed="10"/>
        <rFont val="Calibri"/>
        <family val="2"/>
        <charset val="162"/>
      </rPr>
      <t>*</t>
    </r>
    <r>
      <rPr>
        <b/>
        <sz val="11"/>
        <rFont val="Calibri"/>
        <family val="2"/>
        <charset val="162"/>
      </rPr>
      <t xml:space="preserve"> 1/2 WAIST </t>
    </r>
  </si>
  <si>
    <t>BEL GENİŞLİĞİ</t>
  </si>
  <si>
    <r>
      <t>*</t>
    </r>
    <r>
      <rPr>
        <b/>
        <sz val="11"/>
        <rFont val="Calibri"/>
        <family val="2"/>
        <charset val="162"/>
      </rPr>
      <t xml:space="preserve"> 1/2 BOTTOM OPENING</t>
    </r>
  </si>
  <si>
    <t>ETEK AÇIKLIĞI</t>
  </si>
  <si>
    <t>X10</t>
  </si>
  <si>
    <t>SET BOTTOM CURVED CORNER HEIGHT</t>
  </si>
  <si>
    <t>ETEK UCU KAVİS DERİNLİĞİ</t>
  </si>
  <si>
    <t xml:space="preserve"> CB YOKE DEPTH</t>
  </si>
  <si>
    <t>ARKA ORTADAN ROBA BOYU</t>
  </si>
  <si>
    <t>FORWARD SHOULDER SEAM @ NECK</t>
  </si>
  <si>
    <t>yaka noktasından omuz dönüşü öne</t>
  </si>
  <si>
    <t>FORWARD SHOULDER SEAM @ ARMHOLE</t>
  </si>
  <si>
    <t>kol evi noktasında omuz dönüşü öne</t>
  </si>
  <si>
    <t>SHOULDER SLOPE</t>
  </si>
  <si>
    <t>OMUZ DÜŞÜKLÜĞÜ</t>
  </si>
  <si>
    <r>
      <t>*</t>
    </r>
    <r>
      <rPr>
        <b/>
        <sz val="11"/>
        <rFont val="Calibri"/>
        <family val="2"/>
        <charset val="162"/>
      </rPr>
      <t xml:space="preserve"> SHOULDER POINT TO POINT</t>
    </r>
  </si>
  <si>
    <t>OMUZDAN  OMUZA</t>
  </si>
  <si>
    <r>
      <rPr>
        <b/>
        <sz val="11"/>
        <color indexed="10"/>
        <rFont val="Calibri"/>
        <family val="2"/>
        <charset val="162"/>
      </rPr>
      <t>*</t>
    </r>
    <r>
      <rPr>
        <b/>
        <sz val="11"/>
        <rFont val="Calibri"/>
        <family val="2"/>
        <charset val="162"/>
      </rPr>
      <t xml:space="preserve"> BACK MID ARMHOLE  7 "</t>
    </r>
  </si>
  <si>
    <t>OMUZDAN 17,5CM AŞAĞI ARKA AYNA</t>
  </si>
  <si>
    <r>
      <rPr>
        <b/>
        <sz val="11"/>
        <color indexed="10"/>
        <rFont val="Calibri"/>
        <family val="2"/>
        <charset val="162"/>
      </rPr>
      <t>*</t>
    </r>
    <r>
      <rPr>
        <b/>
        <sz val="11"/>
        <rFont val="Calibri"/>
        <family val="2"/>
        <charset val="162"/>
      </rPr>
      <t xml:space="preserve"> FRONT MID ARMHOLE 7 "</t>
    </r>
  </si>
  <si>
    <t>OMUZDAN 17,5CM AŞAĞI ÖN AYNA</t>
  </si>
  <si>
    <r>
      <t>*</t>
    </r>
    <r>
      <rPr>
        <b/>
        <sz val="11"/>
        <rFont val="Calibri"/>
        <family val="2"/>
        <charset val="162"/>
      </rPr>
      <t xml:space="preserve"> 1/2 ARMHOLE (STRAIGHT)</t>
    </r>
  </si>
  <si>
    <t>1/2 KOL EVİ DİK</t>
  </si>
  <si>
    <t>X1</t>
  </si>
  <si>
    <r>
      <rPr>
        <b/>
        <sz val="11"/>
        <color indexed="10"/>
        <rFont val="Calibri"/>
        <family val="2"/>
        <charset val="162"/>
      </rPr>
      <t>*</t>
    </r>
    <r>
      <rPr>
        <b/>
        <sz val="11"/>
        <rFont val="Calibri"/>
        <family val="2"/>
        <charset val="162"/>
      </rPr>
      <t xml:space="preserve">  ½ BICEP MESUREMENT FROM UNDER ARM POINT</t>
    </r>
  </si>
  <si>
    <t>½ KOL EVİ DİKİŞİ ALTINDAN PAZU GENİŞLİĞİ</t>
  </si>
  <si>
    <t>SLEEVE CAP HEIGHT FROM ARMPIT TO SLEEVE TOP</t>
  </si>
  <si>
    <t>KOL TEPE DERİNLİĞİ</t>
  </si>
  <si>
    <t>*X98-2</t>
  </si>
  <si>
    <t xml:space="preserve"> 1/2 ELBOW WITH ROLL-UP ( MIDPOINT FR TOP SLV CAP TO BTTM OF CUFF )</t>
  </si>
  <si>
    <t xml:space="preserve">1/2 ROLL-UPLI DİRSEK ENİ KOL DIŞ BOYUNDAN KATLANARAK </t>
  </si>
  <si>
    <t>* SLV FM SHLDR</t>
  </si>
  <si>
    <t>KOL BOY MANŞET DAHİL</t>
  </si>
  <si>
    <t>SLEEVE CUFF WIDTH</t>
  </si>
  <si>
    <t>MANŞET BOYU</t>
  </si>
  <si>
    <t>* CUFF AT SEAM EDGE TO EDGE</t>
  </si>
  <si>
    <t>MANŞET AÇIKLIĞI UÇTAN UÇA</t>
  </si>
  <si>
    <t>X92</t>
  </si>
  <si>
    <t>SLV PLEAT 1/2 DEPTH</t>
  </si>
  <si>
    <t>KOL PİLİ DERİNLİĞİ</t>
  </si>
  <si>
    <t>SLEEVE PLACKET LENGTH</t>
  </si>
  <si>
    <t>KOL APARTURA BOYU</t>
  </si>
  <si>
    <t>SLEEVE PLACKET WIDTH</t>
  </si>
  <si>
    <t>KOL APARTURA GENİŞLİĞİ</t>
  </si>
  <si>
    <t>12425-1</t>
  </si>
  <si>
    <r>
      <rPr>
        <b/>
        <sz val="11"/>
        <color indexed="10"/>
        <rFont val="Calibri"/>
        <family val="2"/>
        <charset val="162"/>
      </rPr>
      <t>*</t>
    </r>
    <r>
      <rPr>
        <b/>
        <sz val="11"/>
        <rFont val="Calibri"/>
        <family val="2"/>
        <charset val="162"/>
      </rPr>
      <t xml:space="preserve"> COLLAR LENGTH (COLLAR BUTTONED)</t>
    </r>
  </si>
  <si>
    <t>YAKA AYAĞI İLİKLİ OLARAK YARIDA</t>
  </si>
  <si>
    <r>
      <rPr>
        <b/>
        <sz val="11"/>
        <color indexed="10"/>
        <rFont val="Calibri"/>
        <family val="2"/>
        <charset val="162"/>
      </rPr>
      <t>*</t>
    </r>
    <r>
      <rPr>
        <b/>
        <sz val="11"/>
        <rFont val="Calibri"/>
        <family val="2"/>
        <charset val="162"/>
      </rPr>
      <t xml:space="preserve"> COLLAR OUTSIDE EDGE</t>
    </r>
  </si>
  <si>
    <t>YAKA DIŞ KENAR</t>
  </si>
  <si>
    <t>COLLAR WIDTH @ CENTER BACK</t>
  </si>
  <si>
    <t>YAKA ARKA ORTA BOY</t>
  </si>
  <si>
    <t>4,7</t>
  </si>
  <si>
    <t xml:space="preserve"> COLLAR BAND / MOON WIDTH @ CENTER BACK</t>
  </si>
  <si>
    <t>YAKA AYAĞI ARKA ORTA BOY</t>
  </si>
  <si>
    <t>3,3</t>
  </si>
  <si>
    <t>COLLAR POINT</t>
  </si>
  <si>
    <t>YAKA UCU</t>
  </si>
  <si>
    <t>6,2</t>
  </si>
  <si>
    <r>
      <rPr>
        <b/>
        <sz val="11"/>
        <color indexed="10"/>
        <rFont val="Calibri"/>
        <family val="2"/>
        <charset val="162"/>
      </rPr>
      <t>*</t>
    </r>
    <r>
      <rPr>
        <b/>
        <sz val="11"/>
        <rFont val="Calibri"/>
        <family val="2"/>
        <charset val="162"/>
      </rPr>
      <t xml:space="preserve"> NECK WIDTH (HPS TO HPS)</t>
    </r>
  </si>
  <si>
    <t>YAKA AÇIKLIĞI</t>
  </si>
  <si>
    <r>
      <rPr>
        <b/>
        <sz val="11"/>
        <color indexed="10"/>
        <rFont val="Calibri"/>
        <family val="2"/>
        <charset val="162"/>
      </rPr>
      <t>*</t>
    </r>
    <r>
      <rPr>
        <b/>
        <sz val="11"/>
        <rFont val="Calibri"/>
        <family val="2"/>
        <charset val="162"/>
      </rPr>
      <t xml:space="preserve"> FRONT NECK DROP (HPS TO SEAM)</t>
    </r>
  </si>
  <si>
    <t>OMUZDAN AŞAĞI ÖN YAKA DÜŞÜKLÜĞÜ</t>
  </si>
  <si>
    <t xml:space="preserve"> TIE GAP</t>
  </si>
  <si>
    <t>KRAVAT AÇIKLIĞI</t>
  </si>
  <si>
    <t>FRONT PLACKET WIDTH</t>
  </si>
  <si>
    <t>PAT GENİŞLİĞİ</t>
  </si>
  <si>
    <t>3</t>
  </si>
  <si>
    <t>1st BUTTON PLACEMENT--BODY (under collar stand)</t>
  </si>
  <si>
    <t>YAKA DİKİŞİNDEN AŞAĞI İLK DÜĞME YERİ (düğme merkezinden)</t>
  </si>
  <si>
    <t xml:space="preserve"> LAST BUTTON PLACEMENT - BODY</t>
  </si>
  <si>
    <t>ÖN PAT SON DÜĞME YERİ (düğme merkezinden)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</si>
</sst>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1"/>
      <color indexed="8"/>
      <name val="Calibri"/>
      <family val="2"/>
      <charset val="162"/>
      <scheme val="minor"/>
    </font>
    <font>
      <sz val="10"/>
      <name val="Arial Tur"/>
      <charset val="162"/>
    </font>
    <font>
      <b/>
      <sz val="11"/>
      <name val="Calibri"/>
      <family val="2"/>
      <charset val="162"/>
      <scheme val="minor"/>
    </font>
    <font>
      <b/>
      <sz val="11"/>
      <color indexed="10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4"/>
      <name val="Calibri"/>
      <family val="2"/>
      <charset val="162"/>
      <scheme val="minor"/>
    </font>
    <font>
      <b/>
      <sz val="11"/>
      <color indexed="10"/>
      <name val="Calibri"/>
      <family val="2"/>
      <charset val="162"/>
    </font>
    <font>
      <b/>
      <sz val="11"/>
      <color rgb="FFFF000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56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shrinkToFit="1"/>
    </xf>
    <xf numFmtId="0" fontId="2" fillId="2" borderId="1" xfId="2" applyFont="1" applyFill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/>
    </xf>
    <xf numFmtId="0" fontId="5" fillId="3" borderId="3" xfId="2" applyFont="1" applyFill="1" applyBorder="1" applyAlignment="1">
      <alignment vertical="center"/>
    </xf>
    <xf numFmtId="0" fontId="4" fillId="0" borderId="4" xfId="2" applyFont="1" applyBorder="1" applyAlignment="1">
      <alignment horizontal="left" vertical="center"/>
    </xf>
    <xf numFmtId="0" fontId="4" fillId="0" borderId="5" xfId="0" applyFont="1" applyBorder="1" applyAlignment="1">
      <alignment wrapText="1"/>
    </xf>
    <xf numFmtId="0" fontId="4" fillId="4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5" fillId="0" borderId="5" xfId="2" applyFont="1" applyBorder="1" applyAlignment="1">
      <alignment horizontal="left" vertical="center"/>
    </xf>
    <xf numFmtId="0" fontId="5" fillId="0" borderId="6" xfId="2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5" xfId="0" applyFont="1" applyBorder="1"/>
    <xf numFmtId="0" fontId="4" fillId="3" borderId="5" xfId="2" applyFont="1" applyFill="1" applyBorder="1" applyAlignment="1">
      <alignment vertical="center"/>
    </xf>
    <xf numFmtId="0" fontId="4" fillId="0" borderId="6" xfId="2" applyFont="1" applyBorder="1" applyAlignment="1">
      <alignment horizontal="left" vertical="center"/>
    </xf>
    <xf numFmtId="0" fontId="4" fillId="0" borderId="1" xfId="2" applyFont="1" applyBorder="1" applyAlignment="1">
      <alignment horizontal="left" vertical="center"/>
    </xf>
    <xf numFmtId="0" fontId="4" fillId="3" borderId="5" xfId="2" applyFont="1" applyFill="1" applyBorder="1" applyAlignment="1">
      <alignment horizontal="left" vertical="center"/>
    </xf>
    <xf numFmtId="0" fontId="4" fillId="3" borderId="6" xfId="2" applyFont="1" applyFill="1" applyBorder="1" applyAlignment="1">
      <alignment horizontal="left" vertical="center"/>
    </xf>
    <xf numFmtId="0" fontId="5" fillId="3" borderId="5" xfId="2" applyFont="1" applyFill="1" applyBorder="1" applyAlignment="1">
      <alignment vertical="center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1" xfId="1" applyFont="1" applyBorder="1" applyAlignment="1">
      <alignment horizontal="center" vertical="center" wrapText="1"/>
    </xf>
    <xf numFmtId="49" fontId="7" fillId="4" borderId="1" xfId="1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/>
    </xf>
    <xf numFmtId="0" fontId="5" fillId="3" borderId="5" xfId="2" applyFont="1" applyFill="1" applyBorder="1" applyAlignment="1">
      <alignment horizontal="left" vertical="center"/>
    </xf>
    <xf numFmtId="0" fontId="2" fillId="3" borderId="6" xfId="1" applyFont="1" applyFill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4" fillId="3" borderId="1" xfId="2" applyFont="1" applyFill="1" applyBorder="1" applyAlignment="1">
      <alignment horizontal="left" vertical="center"/>
    </xf>
    <xf numFmtId="0" fontId="4" fillId="3" borderId="1" xfId="1" applyFont="1" applyFill="1" applyBorder="1" applyAlignment="1">
      <alignment horizontal="left" vertical="center" wrapText="1"/>
    </xf>
    <xf numFmtId="0" fontId="4" fillId="3" borderId="5" xfId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/>
    </xf>
    <xf numFmtId="0" fontId="4" fillId="4" borderId="1" xfId="1" applyFont="1" applyFill="1" applyBorder="1" applyAlignment="1">
      <alignment horizontal="left" vertical="center"/>
    </xf>
    <xf numFmtId="0" fontId="4" fillId="4" borderId="1" xfId="1" applyFont="1" applyFill="1" applyBorder="1" applyAlignment="1">
      <alignment horizontal="left" vertical="center" wrapText="1"/>
    </xf>
    <xf numFmtId="0" fontId="4" fillId="4" borderId="5" xfId="1" applyFont="1" applyFill="1" applyBorder="1" applyAlignment="1">
      <alignment horizontal="left" vertical="center"/>
    </xf>
    <xf numFmtId="164" fontId="4" fillId="4" borderId="1" xfId="1" applyNumberFormat="1" applyFont="1" applyFill="1" applyBorder="1" applyAlignment="1">
      <alignment horizontal="center" vertical="center" wrapText="1"/>
    </xf>
    <xf numFmtId="0" fontId="4" fillId="4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vertical="center"/>
    </xf>
    <xf numFmtId="0" fontId="4" fillId="4" borderId="1" xfId="2" applyFont="1" applyFill="1" applyBorder="1" applyAlignment="1">
      <alignment horizontal="left" vertical="center"/>
    </xf>
    <xf numFmtId="49" fontId="4" fillId="0" borderId="1" xfId="1" applyNumberFormat="1" applyFont="1" applyBorder="1" applyAlignment="1">
      <alignment horizontal="center" vertical="center" wrapText="1"/>
    </xf>
    <xf numFmtId="0" fontId="4" fillId="3" borderId="5" xfId="2" applyFont="1" applyFill="1" applyBorder="1" applyAlignment="1">
      <alignment horizontal="left" vertical="center" wrapText="1"/>
    </xf>
    <xf numFmtId="0" fontId="4" fillId="3" borderId="6" xfId="2" applyFont="1" applyFill="1" applyBorder="1" applyAlignment="1">
      <alignment horizontal="left" vertical="center" wrapText="1"/>
    </xf>
    <xf numFmtId="0" fontId="4" fillId="4" borderId="5" xfId="2" applyFont="1" applyFill="1" applyBorder="1" applyAlignment="1">
      <alignment vertical="center"/>
    </xf>
    <xf numFmtId="0" fontId="4" fillId="3" borderId="1" xfId="1" applyFont="1" applyFill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/>
    </xf>
    <xf numFmtId="0" fontId="4" fillId="0" borderId="1" xfId="0" applyFont="1" applyBorder="1"/>
    <xf numFmtId="0" fontId="4" fillId="3" borderId="5" xfId="0" applyFont="1" applyFill="1" applyBorder="1" applyAlignment="1">
      <alignment horizontal="left"/>
    </xf>
  </cellXfs>
  <cellStyles count="3">
    <cellStyle name="Normal" xfId="0" builtinId="0"/>
    <cellStyle name="Normal 12" xfId="2" xr:uid="{AF9234C2-B29D-4EA0-947B-A816D2B01390}"/>
    <cellStyle name="Normal_Sayfa1 2" xfId="1" xr:uid="{6F09E4BE-20ED-49BE-86C8-BF7EF12841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734FE-942A-4190-8180-A651CF571F76}">
  <dimension ref="A4:L39"/>
  <sheetViews>
    <sheetView tabSelected="1" topLeftCell="A4" workbookViewId="0">
      <selection activeCell="A4" sqref="A4:L39"/>
    </sheetView>
  </sheetViews>
  <sheetFormatPr defaultRowHeight="15" x14ac:dyDescent="0.25"/>
  <sheetData>
    <row r="4" spans="1:12" ht="30" x14ac:dyDescent="0.25">
      <c r="A4" s="1" t="s">
        <v>0</v>
      </c>
      <c r="B4" s="2" t="s">
        <v>1</v>
      </c>
      <c r="C4" s="2"/>
      <c r="D4" s="2"/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1"/>
      <c r="L4" s="4" t="s">
        <v>8</v>
      </c>
    </row>
    <row r="5" spans="1:12" ht="105" x14ac:dyDescent="0.25">
      <c r="A5" s="5">
        <v>10585</v>
      </c>
      <c r="B5" s="6" t="s">
        <v>9</v>
      </c>
      <c r="C5" s="7"/>
      <c r="D5" s="8" t="s">
        <v>10</v>
      </c>
      <c r="E5" s="9">
        <f>F5-1.5</f>
        <v>74</v>
      </c>
      <c r="F5" s="9">
        <f>G5-1.5</f>
        <v>75.5</v>
      </c>
      <c r="G5" s="9">
        <v>77</v>
      </c>
      <c r="H5" s="9">
        <f>G5+2</f>
        <v>79</v>
      </c>
      <c r="I5" s="9">
        <f>H5+1</f>
        <v>80</v>
      </c>
      <c r="J5" s="9">
        <f>I5+1</f>
        <v>81</v>
      </c>
      <c r="K5" s="10"/>
      <c r="L5" s="11">
        <v>1</v>
      </c>
    </row>
    <row r="6" spans="1:12" ht="105" x14ac:dyDescent="0.25">
      <c r="A6" s="12">
        <v>10525</v>
      </c>
      <c r="B6" s="13" t="s">
        <v>11</v>
      </c>
      <c r="C6" s="14"/>
      <c r="D6" s="8" t="s">
        <v>12</v>
      </c>
      <c r="E6" s="9">
        <f>F6-1.5</f>
        <v>74</v>
      </c>
      <c r="F6" s="9">
        <f>G6-1.5</f>
        <v>75.5</v>
      </c>
      <c r="G6" s="9">
        <v>77</v>
      </c>
      <c r="H6" s="9">
        <f>G6+2</f>
        <v>79</v>
      </c>
      <c r="I6" s="9">
        <f>H6+1</f>
        <v>80</v>
      </c>
      <c r="J6" s="9">
        <f>I6+1</f>
        <v>81</v>
      </c>
      <c r="K6" s="10"/>
      <c r="L6" s="15">
        <v>1</v>
      </c>
    </row>
    <row r="7" spans="1:12" ht="18.75" x14ac:dyDescent="0.25">
      <c r="A7" s="16" t="s">
        <v>13</v>
      </c>
      <c r="B7" s="17" t="s">
        <v>14</v>
      </c>
      <c r="C7" s="17"/>
      <c r="D7" s="18" t="s">
        <v>15</v>
      </c>
      <c r="E7" s="9">
        <f>F7-2</f>
        <v>54</v>
      </c>
      <c r="F7" s="9">
        <f>G7-2</f>
        <v>56</v>
      </c>
      <c r="G7" s="9">
        <v>58</v>
      </c>
      <c r="H7" s="9">
        <f>G7+3</f>
        <v>61</v>
      </c>
      <c r="I7" s="9">
        <f>H7+3</f>
        <v>64</v>
      </c>
      <c r="J7" s="9">
        <f>I7+3</f>
        <v>67</v>
      </c>
      <c r="K7" s="10"/>
      <c r="L7" s="15">
        <v>1</v>
      </c>
    </row>
    <row r="8" spans="1:12" ht="18.75" x14ac:dyDescent="0.25">
      <c r="A8" s="12">
        <v>10185</v>
      </c>
      <c r="B8" s="19" t="s">
        <v>16</v>
      </c>
      <c r="C8" s="20"/>
      <c r="D8" s="21" t="s">
        <v>17</v>
      </c>
      <c r="E8" s="9">
        <v>46.5</v>
      </c>
      <c r="F8" s="9">
        <v>47.25</v>
      </c>
      <c r="G8" s="9">
        <v>48</v>
      </c>
      <c r="H8" s="9">
        <v>48.75</v>
      </c>
      <c r="I8" s="9">
        <f>H8+0.75</f>
        <v>49.5</v>
      </c>
      <c r="J8" s="9">
        <f>I8+0.75</f>
        <v>50.25</v>
      </c>
      <c r="K8" s="10"/>
      <c r="L8" s="15">
        <v>0</v>
      </c>
    </row>
    <row r="9" spans="1:12" ht="18.75" x14ac:dyDescent="0.25">
      <c r="A9" s="12">
        <v>10225</v>
      </c>
      <c r="B9" s="22" t="s">
        <v>18</v>
      </c>
      <c r="C9" s="23"/>
      <c r="D9" s="18" t="s">
        <v>19</v>
      </c>
      <c r="E9" s="9">
        <f>F9-2</f>
        <v>52</v>
      </c>
      <c r="F9" s="9">
        <f>G9-2</f>
        <v>54</v>
      </c>
      <c r="G9" s="9">
        <v>56</v>
      </c>
      <c r="H9" s="9">
        <f>G9+3.5</f>
        <v>59.5</v>
      </c>
      <c r="I9" s="9">
        <f>H9+3.5</f>
        <v>63</v>
      </c>
      <c r="J9" s="9">
        <f>I9+3.5</f>
        <v>66.5</v>
      </c>
      <c r="K9" s="10"/>
      <c r="L9" s="15">
        <v>1</v>
      </c>
    </row>
    <row r="10" spans="1:12" ht="18.75" x14ac:dyDescent="0.25">
      <c r="A10" s="12">
        <v>10405</v>
      </c>
      <c r="B10" s="24" t="s">
        <v>20</v>
      </c>
      <c r="C10" s="20"/>
      <c r="D10" s="21" t="s">
        <v>21</v>
      </c>
      <c r="E10" s="9">
        <f>F10-2</f>
        <v>53</v>
      </c>
      <c r="F10" s="9">
        <f>G10-2</f>
        <v>55</v>
      </c>
      <c r="G10" s="9">
        <v>57</v>
      </c>
      <c r="H10" s="9">
        <f>G10+3</f>
        <v>60</v>
      </c>
      <c r="I10" s="9">
        <f>H10+3</f>
        <v>63</v>
      </c>
      <c r="J10" s="9">
        <f>I10+3</f>
        <v>66</v>
      </c>
      <c r="K10" s="10"/>
      <c r="L10" s="15">
        <v>1</v>
      </c>
    </row>
    <row r="11" spans="1:12" ht="18.75" x14ac:dyDescent="0.25">
      <c r="A11" s="12" t="s">
        <v>22</v>
      </c>
      <c r="B11" s="25" t="s">
        <v>23</v>
      </c>
      <c r="C11" s="26"/>
      <c r="D11" s="18" t="s">
        <v>24</v>
      </c>
      <c r="E11" s="27">
        <v>5</v>
      </c>
      <c r="F11" s="27">
        <v>5</v>
      </c>
      <c r="G11" s="27">
        <v>5</v>
      </c>
      <c r="H11" s="27">
        <v>5</v>
      </c>
      <c r="I11" s="27">
        <v>5</v>
      </c>
      <c r="J11" s="27">
        <v>5</v>
      </c>
      <c r="K11" s="28"/>
      <c r="L11" s="15">
        <v>0</v>
      </c>
    </row>
    <row r="12" spans="1:12" ht="18.75" x14ac:dyDescent="0.25">
      <c r="A12" s="16">
        <v>11145</v>
      </c>
      <c r="B12" s="17" t="s">
        <v>25</v>
      </c>
      <c r="C12" s="17"/>
      <c r="D12" s="29" t="s">
        <v>26</v>
      </c>
      <c r="E12" s="15">
        <v>13</v>
      </c>
      <c r="F12" s="15">
        <v>14</v>
      </c>
      <c r="G12" s="15">
        <v>14</v>
      </c>
      <c r="H12" s="15">
        <v>15</v>
      </c>
      <c r="I12" s="15">
        <v>15</v>
      </c>
      <c r="J12" s="15">
        <v>15</v>
      </c>
      <c r="K12" s="10"/>
      <c r="L12" s="15">
        <v>0</v>
      </c>
    </row>
    <row r="13" spans="1:12" ht="18.75" x14ac:dyDescent="0.25">
      <c r="A13" s="16">
        <v>10985</v>
      </c>
      <c r="B13" s="25" t="s">
        <v>27</v>
      </c>
      <c r="C13" s="26"/>
      <c r="D13" s="29" t="s">
        <v>28</v>
      </c>
      <c r="E13" s="15">
        <v>3.5</v>
      </c>
      <c r="F13" s="15">
        <v>3.5</v>
      </c>
      <c r="G13" s="15">
        <v>3.5</v>
      </c>
      <c r="H13" s="15">
        <v>3.5</v>
      </c>
      <c r="I13" s="15">
        <v>3.5</v>
      </c>
      <c r="J13" s="15">
        <v>3.5</v>
      </c>
      <c r="K13" s="10"/>
      <c r="L13" s="15">
        <v>0</v>
      </c>
    </row>
    <row r="14" spans="1:12" ht="18.75" x14ac:dyDescent="0.25">
      <c r="A14" s="16">
        <v>11005</v>
      </c>
      <c r="B14" s="25" t="s">
        <v>29</v>
      </c>
      <c r="C14" s="26"/>
      <c r="D14" s="29" t="s">
        <v>30</v>
      </c>
      <c r="E14" s="15">
        <v>4</v>
      </c>
      <c r="F14" s="15">
        <v>4</v>
      </c>
      <c r="G14" s="15">
        <v>4</v>
      </c>
      <c r="H14" s="15">
        <v>4</v>
      </c>
      <c r="I14" s="15">
        <v>4</v>
      </c>
      <c r="J14" s="15">
        <v>4</v>
      </c>
      <c r="K14" s="10"/>
      <c r="L14" s="15">
        <v>0</v>
      </c>
    </row>
    <row r="15" spans="1:12" ht="45" x14ac:dyDescent="0.25">
      <c r="A15" s="16">
        <v>10945</v>
      </c>
      <c r="B15" s="17" t="s">
        <v>31</v>
      </c>
      <c r="C15" s="17"/>
      <c r="D15" s="8" t="s">
        <v>32</v>
      </c>
      <c r="E15" s="15">
        <v>5</v>
      </c>
      <c r="F15" s="15">
        <v>5</v>
      </c>
      <c r="G15" s="15">
        <v>5</v>
      </c>
      <c r="H15" s="15">
        <v>5</v>
      </c>
      <c r="I15" s="15">
        <v>5</v>
      </c>
      <c r="J15" s="15">
        <v>5</v>
      </c>
      <c r="K15" s="10"/>
      <c r="L15" s="15">
        <v>0</v>
      </c>
    </row>
    <row r="16" spans="1:12" ht="18.75" x14ac:dyDescent="0.25">
      <c r="A16" s="12">
        <v>10865</v>
      </c>
      <c r="B16" s="24" t="s">
        <v>33</v>
      </c>
      <c r="C16" s="20"/>
      <c r="D16" s="21" t="s">
        <v>34</v>
      </c>
      <c r="E16" s="9">
        <f t="shared" ref="E16:F18" si="0">F16-1.6</f>
        <v>45.3</v>
      </c>
      <c r="F16" s="9">
        <f t="shared" si="0"/>
        <v>46.9</v>
      </c>
      <c r="G16" s="9">
        <v>48.5</v>
      </c>
      <c r="H16" s="9">
        <f>G16+2</f>
        <v>50.5</v>
      </c>
      <c r="I16" s="9">
        <f t="shared" ref="I16:J18" si="1">H16+2</f>
        <v>52.5</v>
      </c>
      <c r="J16" s="9">
        <f t="shared" si="1"/>
        <v>54.5</v>
      </c>
      <c r="K16" s="10"/>
      <c r="L16" s="15">
        <v>0.7</v>
      </c>
    </row>
    <row r="17" spans="1:12" x14ac:dyDescent="0.25">
      <c r="A17" s="12">
        <v>11105</v>
      </c>
      <c r="B17" s="22" t="s">
        <v>35</v>
      </c>
      <c r="C17" s="23"/>
      <c r="D17" s="18" t="s">
        <v>36</v>
      </c>
      <c r="E17" s="9">
        <f t="shared" si="0"/>
        <v>43.8</v>
      </c>
      <c r="F17" s="9">
        <f t="shared" si="0"/>
        <v>45.4</v>
      </c>
      <c r="G17" s="9">
        <v>47</v>
      </c>
      <c r="H17" s="9">
        <f>G17+2</f>
        <v>49</v>
      </c>
      <c r="I17" s="9">
        <f t="shared" si="1"/>
        <v>51</v>
      </c>
      <c r="J17" s="9">
        <f t="shared" si="1"/>
        <v>53</v>
      </c>
      <c r="K17" s="9"/>
      <c r="L17" s="27">
        <v>0.7</v>
      </c>
    </row>
    <row r="18" spans="1:12" x14ac:dyDescent="0.25">
      <c r="A18" s="12">
        <v>10125</v>
      </c>
      <c r="B18" s="22" t="s">
        <v>37</v>
      </c>
      <c r="C18" s="23"/>
      <c r="D18" s="18" t="s">
        <v>38</v>
      </c>
      <c r="E18" s="9">
        <f t="shared" si="0"/>
        <v>39.799999999999997</v>
      </c>
      <c r="F18" s="9">
        <f t="shared" si="0"/>
        <v>41.4</v>
      </c>
      <c r="G18" s="9">
        <v>43</v>
      </c>
      <c r="H18" s="9">
        <f>G18+2</f>
        <v>45</v>
      </c>
      <c r="I18" s="9">
        <f t="shared" si="1"/>
        <v>47</v>
      </c>
      <c r="J18" s="9">
        <f t="shared" si="1"/>
        <v>49</v>
      </c>
      <c r="K18" s="9"/>
      <c r="L18" s="27">
        <v>0.7</v>
      </c>
    </row>
    <row r="19" spans="1:12" ht="30" x14ac:dyDescent="0.25">
      <c r="A19" s="12">
        <v>11350</v>
      </c>
      <c r="B19" s="30" t="s">
        <v>39</v>
      </c>
      <c r="C19" s="31"/>
      <c r="D19" s="32" t="s">
        <v>40</v>
      </c>
      <c r="E19" s="9">
        <f>F19-1</f>
        <v>22</v>
      </c>
      <c r="F19" s="9">
        <f>G19-1</f>
        <v>23</v>
      </c>
      <c r="G19" s="9">
        <v>24</v>
      </c>
      <c r="H19" s="9">
        <f t="shared" ref="H19:J20" si="2">G19+1.5</f>
        <v>25.5</v>
      </c>
      <c r="I19" s="9">
        <f t="shared" si="2"/>
        <v>27</v>
      </c>
      <c r="J19" s="9">
        <f t="shared" si="2"/>
        <v>28.5</v>
      </c>
      <c r="K19" s="9"/>
      <c r="L19" s="27">
        <v>0.5</v>
      </c>
    </row>
    <row r="20" spans="1:12" x14ac:dyDescent="0.25">
      <c r="A20" s="12" t="s">
        <v>41</v>
      </c>
      <c r="B20" s="33" t="s">
        <v>42</v>
      </c>
      <c r="C20" s="34"/>
      <c r="D20" s="18" t="s">
        <v>43</v>
      </c>
      <c r="E20" s="9">
        <f>F20-1</f>
        <v>19.5</v>
      </c>
      <c r="F20" s="9">
        <f>G20-1</f>
        <v>20.5</v>
      </c>
      <c r="G20" s="9">
        <v>21.5</v>
      </c>
      <c r="H20" s="9">
        <f t="shared" si="2"/>
        <v>23</v>
      </c>
      <c r="I20" s="9">
        <f t="shared" si="2"/>
        <v>24.5</v>
      </c>
      <c r="J20" s="9">
        <f t="shared" si="2"/>
        <v>26</v>
      </c>
      <c r="K20" s="9"/>
      <c r="L20" s="27">
        <v>0.5</v>
      </c>
    </row>
    <row r="21" spans="1:12" x14ac:dyDescent="0.25">
      <c r="A21" s="12">
        <v>11525</v>
      </c>
      <c r="B21" s="35" t="s">
        <v>44</v>
      </c>
      <c r="C21" s="35"/>
      <c r="D21" s="36" t="s">
        <v>45</v>
      </c>
      <c r="E21" s="9">
        <f>F21-0.2</f>
        <v>14.100000000000001</v>
      </c>
      <c r="F21" s="9">
        <f>G21-0.2</f>
        <v>14.3</v>
      </c>
      <c r="G21" s="9">
        <v>14.5</v>
      </c>
      <c r="H21" s="9">
        <f>G21+0.2</f>
        <v>14.7</v>
      </c>
      <c r="I21" s="9">
        <f>H21+0.2</f>
        <v>14.899999999999999</v>
      </c>
      <c r="J21" s="9">
        <f>I21+0.2</f>
        <v>15.099999999999998</v>
      </c>
      <c r="K21" s="9"/>
      <c r="L21" s="27">
        <v>0</v>
      </c>
    </row>
    <row r="22" spans="1:12" x14ac:dyDescent="0.25">
      <c r="A22" s="37" t="s">
        <v>46</v>
      </c>
      <c r="B22" s="38" t="s">
        <v>47</v>
      </c>
      <c r="C22" s="39"/>
      <c r="D22" s="40" t="s">
        <v>48</v>
      </c>
      <c r="E22" s="9">
        <f>F22-0.8</f>
        <v>16.399999999999999</v>
      </c>
      <c r="F22" s="9">
        <f>G22-0.8</f>
        <v>17.2</v>
      </c>
      <c r="G22" s="9">
        <v>18</v>
      </c>
      <c r="H22" s="9">
        <f>G22+1</f>
        <v>19</v>
      </c>
      <c r="I22" s="9">
        <f>H22+1</f>
        <v>20</v>
      </c>
      <c r="J22" s="9">
        <f>I22+1</f>
        <v>21</v>
      </c>
      <c r="K22" s="9"/>
      <c r="L22" s="41">
        <v>0.3</v>
      </c>
    </row>
    <row r="23" spans="1:12" x14ac:dyDescent="0.25">
      <c r="A23" s="42">
        <v>11264</v>
      </c>
      <c r="B23" s="43" t="s">
        <v>49</v>
      </c>
      <c r="C23" s="44"/>
      <c r="D23" s="29" t="s">
        <v>50</v>
      </c>
      <c r="E23" s="9">
        <f>F23-1</f>
        <v>64</v>
      </c>
      <c r="F23" s="9">
        <f>G23-1</f>
        <v>65</v>
      </c>
      <c r="G23" s="9">
        <v>66</v>
      </c>
      <c r="H23" s="9">
        <f>G23+1.5</f>
        <v>67.5</v>
      </c>
      <c r="I23" s="9">
        <f>H23+1</f>
        <v>68.5</v>
      </c>
      <c r="J23" s="9">
        <f>I23+1</f>
        <v>69.5</v>
      </c>
      <c r="K23" s="9"/>
      <c r="L23" s="41">
        <v>1</v>
      </c>
    </row>
    <row r="24" spans="1:12" x14ac:dyDescent="0.25">
      <c r="A24" s="42">
        <v>11765</v>
      </c>
      <c r="B24" s="43" t="s">
        <v>51</v>
      </c>
      <c r="C24" s="44"/>
      <c r="D24" s="29" t="s">
        <v>52</v>
      </c>
      <c r="E24" s="9">
        <v>6</v>
      </c>
      <c r="F24" s="9">
        <v>6</v>
      </c>
      <c r="G24" s="9">
        <v>6</v>
      </c>
      <c r="H24" s="9">
        <v>6</v>
      </c>
      <c r="I24" s="9">
        <v>6</v>
      </c>
      <c r="J24" s="9">
        <v>6</v>
      </c>
      <c r="K24" s="9"/>
      <c r="L24" s="41">
        <v>0</v>
      </c>
    </row>
    <row r="25" spans="1:12" x14ac:dyDescent="0.25">
      <c r="A25" s="42">
        <v>11688</v>
      </c>
      <c r="B25" s="43" t="s">
        <v>53</v>
      </c>
      <c r="C25" s="44"/>
      <c r="D25" s="29" t="s">
        <v>54</v>
      </c>
      <c r="E25" s="9">
        <f>F25-0.75</f>
        <v>24</v>
      </c>
      <c r="F25" s="9">
        <f>G25-0.75</f>
        <v>24.75</v>
      </c>
      <c r="G25" s="9">
        <v>25.5</v>
      </c>
      <c r="H25" s="9">
        <f>G25+0.75</f>
        <v>26.25</v>
      </c>
      <c r="I25" s="9">
        <f>H25+0.75</f>
        <v>27</v>
      </c>
      <c r="J25" s="9">
        <f>I25+0.75</f>
        <v>27.75</v>
      </c>
      <c r="K25" s="9"/>
      <c r="L25" s="41">
        <v>0.3</v>
      </c>
    </row>
    <row r="26" spans="1:12" x14ac:dyDescent="0.25">
      <c r="A26" s="42" t="s">
        <v>55</v>
      </c>
      <c r="B26" s="43" t="s">
        <v>56</v>
      </c>
      <c r="C26" s="44"/>
      <c r="D26" s="29" t="s">
        <v>57</v>
      </c>
      <c r="E26" s="9">
        <v>2</v>
      </c>
      <c r="F26" s="9">
        <v>2</v>
      </c>
      <c r="G26" s="9">
        <v>2</v>
      </c>
      <c r="H26" s="9">
        <v>2</v>
      </c>
      <c r="I26" s="9">
        <v>2</v>
      </c>
      <c r="J26" s="9">
        <v>2</v>
      </c>
      <c r="K26" s="9"/>
      <c r="L26" s="41">
        <v>0</v>
      </c>
    </row>
    <row r="27" spans="1:12" x14ac:dyDescent="0.25">
      <c r="A27" s="42">
        <v>11785</v>
      </c>
      <c r="B27" s="43" t="s">
        <v>58</v>
      </c>
      <c r="C27" s="44"/>
      <c r="D27" s="29" t="s">
        <v>59</v>
      </c>
      <c r="E27" s="9">
        <v>14</v>
      </c>
      <c r="F27" s="9">
        <v>14</v>
      </c>
      <c r="G27" s="9">
        <v>15</v>
      </c>
      <c r="H27" s="9">
        <v>15</v>
      </c>
      <c r="I27" s="9">
        <v>15</v>
      </c>
      <c r="J27" s="9">
        <v>15</v>
      </c>
      <c r="K27" s="9"/>
      <c r="L27" s="41">
        <v>0</v>
      </c>
    </row>
    <row r="28" spans="1:12" x14ac:dyDescent="0.25">
      <c r="A28" s="42">
        <v>11825</v>
      </c>
      <c r="B28" s="43" t="s">
        <v>60</v>
      </c>
      <c r="C28" s="44"/>
      <c r="D28" s="29" t="s">
        <v>61</v>
      </c>
      <c r="E28" s="37">
        <v>2.5</v>
      </c>
      <c r="F28" s="37">
        <v>2.5</v>
      </c>
      <c r="G28" s="37">
        <v>2.5</v>
      </c>
      <c r="H28" s="37">
        <v>2.5</v>
      </c>
      <c r="I28" s="37">
        <v>2.5</v>
      </c>
      <c r="J28" s="37">
        <v>2.5</v>
      </c>
      <c r="K28" s="37"/>
      <c r="L28" s="41">
        <v>0</v>
      </c>
    </row>
    <row r="29" spans="1:12" x14ac:dyDescent="0.25">
      <c r="A29" s="16" t="s">
        <v>62</v>
      </c>
      <c r="B29" s="17" t="s">
        <v>63</v>
      </c>
      <c r="C29" s="17"/>
      <c r="D29" s="18" t="s">
        <v>64</v>
      </c>
      <c r="E29" s="27">
        <f>F29-1</f>
        <v>19.5</v>
      </c>
      <c r="F29" s="27">
        <f>G29-1</f>
        <v>20.5</v>
      </c>
      <c r="G29" s="27">
        <v>21.5</v>
      </c>
      <c r="H29" s="27">
        <f>G29+1</f>
        <v>22.5</v>
      </c>
      <c r="I29" s="27">
        <f>H29+1</f>
        <v>23.5</v>
      </c>
      <c r="J29" s="27">
        <f>I29+1</f>
        <v>24.5</v>
      </c>
      <c r="K29" s="42"/>
      <c r="L29" s="27">
        <v>0.5</v>
      </c>
    </row>
    <row r="30" spans="1:12" x14ac:dyDescent="0.25">
      <c r="A30" s="42">
        <v>12445</v>
      </c>
      <c r="B30" s="22" t="s">
        <v>65</v>
      </c>
      <c r="C30" s="23"/>
      <c r="D30" s="18" t="s">
        <v>66</v>
      </c>
      <c r="E30" s="27">
        <f>F30-2</f>
        <v>40.5</v>
      </c>
      <c r="F30" s="27">
        <f>G30-2</f>
        <v>42.5</v>
      </c>
      <c r="G30" s="27">
        <v>44.5</v>
      </c>
      <c r="H30" s="27">
        <f>G30+2</f>
        <v>46.5</v>
      </c>
      <c r="I30" s="27">
        <f>H30+2</f>
        <v>48.5</v>
      </c>
      <c r="J30" s="27">
        <f>I30+2</f>
        <v>50.5</v>
      </c>
      <c r="K30" s="37"/>
      <c r="L30" s="27">
        <v>1</v>
      </c>
    </row>
    <row r="31" spans="1:12" x14ac:dyDescent="0.25">
      <c r="A31" s="42">
        <v>12465</v>
      </c>
      <c r="B31" s="22" t="s">
        <v>67</v>
      </c>
      <c r="C31" s="23"/>
      <c r="D31" s="29" t="s">
        <v>68</v>
      </c>
      <c r="E31" s="45" t="s">
        <v>69</v>
      </c>
      <c r="F31" s="45" t="s">
        <v>69</v>
      </c>
      <c r="G31" s="45" t="s">
        <v>69</v>
      </c>
      <c r="H31" s="45" t="s">
        <v>69</v>
      </c>
      <c r="I31" s="45" t="s">
        <v>69</v>
      </c>
      <c r="J31" s="45" t="s">
        <v>69</v>
      </c>
      <c r="K31" s="37"/>
      <c r="L31" s="27">
        <v>0</v>
      </c>
    </row>
    <row r="32" spans="1:12" x14ac:dyDescent="0.25">
      <c r="A32" s="16">
        <v>12485</v>
      </c>
      <c r="B32" s="25" t="s">
        <v>70</v>
      </c>
      <c r="C32" s="26"/>
      <c r="D32" s="19" t="s">
        <v>71</v>
      </c>
      <c r="E32" s="45" t="s">
        <v>72</v>
      </c>
      <c r="F32" s="45" t="s">
        <v>72</v>
      </c>
      <c r="G32" s="45" t="s">
        <v>72</v>
      </c>
      <c r="H32" s="45" t="s">
        <v>72</v>
      </c>
      <c r="I32" s="45" t="s">
        <v>72</v>
      </c>
      <c r="J32" s="45" t="s">
        <v>72</v>
      </c>
      <c r="K32" s="37"/>
      <c r="L32" s="27">
        <v>0</v>
      </c>
    </row>
    <row r="33" spans="1:12" x14ac:dyDescent="0.25">
      <c r="A33" s="42">
        <v>12505</v>
      </c>
      <c r="B33" s="46" t="s">
        <v>73</v>
      </c>
      <c r="C33" s="47"/>
      <c r="D33" s="48" t="s">
        <v>74</v>
      </c>
      <c r="E33" s="45" t="s">
        <v>75</v>
      </c>
      <c r="F33" s="45" t="s">
        <v>75</v>
      </c>
      <c r="G33" s="45" t="s">
        <v>75</v>
      </c>
      <c r="H33" s="45" t="s">
        <v>75</v>
      </c>
      <c r="I33" s="45" t="s">
        <v>75</v>
      </c>
      <c r="J33" s="45" t="s">
        <v>75</v>
      </c>
      <c r="K33" s="37"/>
      <c r="L33" s="27">
        <v>0</v>
      </c>
    </row>
    <row r="34" spans="1:12" x14ac:dyDescent="0.25">
      <c r="A34" s="12">
        <v>11925</v>
      </c>
      <c r="B34" s="22" t="s">
        <v>76</v>
      </c>
      <c r="C34" s="23"/>
      <c r="D34" s="18" t="s">
        <v>77</v>
      </c>
      <c r="E34" s="27">
        <f>F34-0.8</f>
        <v>13.899999999999999</v>
      </c>
      <c r="F34" s="27">
        <f>G34-0.8</f>
        <v>14.7</v>
      </c>
      <c r="G34" s="49">
        <v>15.5</v>
      </c>
      <c r="H34" s="27">
        <f>G34+0.8</f>
        <v>16.3</v>
      </c>
      <c r="I34" s="27">
        <f>H34+0.8</f>
        <v>17.100000000000001</v>
      </c>
      <c r="J34" s="27">
        <f>I34+0.8</f>
        <v>17.900000000000002</v>
      </c>
      <c r="K34" s="50"/>
      <c r="L34" s="15">
        <v>0.5</v>
      </c>
    </row>
    <row r="35" spans="1:12" x14ac:dyDescent="0.25">
      <c r="A35" s="12">
        <v>12185</v>
      </c>
      <c r="B35" s="22" t="s">
        <v>78</v>
      </c>
      <c r="C35" s="23"/>
      <c r="D35" s="18" t="s">
        <v>79</v>
      </c>
      <c r="E35" s="27">
        <f>F35-0.35</f>
        <v>9.3000000000000007</v>
      </c>
      <c r="F35" s="27">
        <f>G35-0.35</f>
        <v>9.65</v>
      </c>
      <c r="G35" s="49">
        <v>10</v>
      </c>
      <c r="H35" s="27">
        <f>G35+0.35</f>
        <v>10.35</v>
      </c>
      <c r="I35" s="27">
        <f>H35+0.35</f>
        <v>10.7</v>
      </c>
      <c r="J35" s="27">
        <f>I35+0.35</f>
        <v>11.049999999999999</v>
      </c>
      <c r="K35" s="50"/>
      <c r="L35" s="15">
        <v>0.5</v>
      </c>
    </row>
    <row r="36" spans="1:12" ht="30" x14ac:dyDescent="0.25">
      <c r="A36" s="16">
        <v>12525</v>
      </c>
      <c r="B36" s="17" t="s">
        <v>80</v>
      </c>
      <c r="C36" s="17"/>
      <c r="D36" s="8" t="s">
        <v>81</v>
      </c>
      <c r="E36" s="51">
        <v>0.5</v>
      </c>
      <c r="F36" s="51">
        <v>0.5</v>
      </c>
      <c r="G36" s="51">
        <v>0.5</v>
      </c>
      <c r="H36" s="51">
        <v>0.5</v>
      </c>
      <c r="I36" s="51">
        <v>0.5</v>
      </c>
      <c r="J36" s="51">
        <v>0.5</v>
      </c>
      <c r="K36" s="50"/>
      <c r="L36" s="15">
        <v>0</v>
      </c>
    </row>
    <row r="37" spans="1:12" x14ac:dyDescent="0.25">
      <c r="A37" s="12">
        <v>10505</v>
      </c>
      <c r="B37" s="22" t="s">
        <v>82</v>
      </c>
      <c r="C37" s="23"/>
      <c r="D37" s="18" t="s">
        <v>83</v>
      </c>
      <c r="E37" s="45" t="s">
        <v>84</v>
      </c>
      <c r="F37" s="45" t="s">
        <v>84</v>
      </c>
      <c r="G37" s="45" t="s">
        <v>84</v>
      </c>
      <c r="H37" s="45" t="s">
        <v>84</v>
      </c>
      <c r="I37" s="45" t="s">
        <v>84</v>
      </c>
      <c r="J37" s="45" t="s">
        <v>84</v>
      </c>
      <c r="K37" s="50"/>
      <c r="L37" s="15">
        <v>0</v>
      </c>
    </row>
    <row r="38" spans="1:12" x14ac:dyDescent="0.25">
      <c r="A38" s="16">
        <v>12925</v>
      </c>
      <c r="B38" s="33" t="s">
        <v>85</v>
      </c>
      <c r="C38" s="33"/>
      <c r="D38" s="29" t="s">
        <v>86</v>
      </c>
      <c r="E38" s="27">
        <v>6</v>
      </c>
      <c r="F38" s="27">
        <v>6</v>
      </c>
      <c r="G38" s="27">
        <v>6</v>
      </c>
      <c r="H38" s="27">
        <v>6</v>
      </c>
      <c r="I38" s="27">
        <v>6</v>
      </c>
      <c r="J38" s="27">
        <v>6</v>
      </c>
      <c r="K38" s="50"/>
      <c r="L38" s="15">
        <v>0</v>
      </c>
    </row>
    <row r="39" spans="1:12" x14ac:dyDescent="0.25">
      <c r="A39" s="52">
        <v>12935</v>
      </c>
      <c r="B39" s="53" t="s">
        <v>87</v>
      </c>
      <c r="C39" s="54"/>
      <c r="D39" s="55" t="s">
        <v>88</v>
      </c>
      <c r="E39" s="15">
        <v>13</v>
      </c>
      <c r="F39" s="15">
        <v>13</v>
      </c>
      <c r="G39" s="15">
        <v>13</v>
      </c>
      <c r="H39" s="15">
        <v>13</v>
      </c>
      <c r="I39" s="15">
        <v>13</v>
      </c>
      <c r="J39" s="15">
        <v>13</v>
      </c>
      <c r="K39" s="50"/>
      <c r="L39" s="15">
        <v>0</v>
      </c>
    </row>
  </sheetData>
  <mergeCells count="21">
    <mergeCell ref="B36:C36"/>
    <mergeCell ref="B37:C37"/>
    <mergeCell ref="B30:C30"/>
    <mergeCell ref="B31:C31"/>
    <mergeCell ref="B32:C32"/>
    <mergeCell ref="B33:C33"/>
    <mergeCell ref="B34:C34"/>
    <mergeCell ref="B35:C35"/>
    <mergeCell ref="B14:C14"/>
    <mergeCell ref="B15:C15"/>
    <mergeCell ref="B17:C17"/>
    <mergeCell ref="B18:C18"/>
    <mergeCell ref="B21:C21"/>
    <mergeCell ref="B29:C29"/>
    <mergeCell ref="B4:D4"/>
    <mergeCell ref="B6:C6"/>
    <mergeCell ref="B7:C7"/>
    <mergeCell ref="B9:C9"/>
    <mergeCell ref="B11:C11"/>
    <mergeCell ref="B12:C12"/>
    <mergeCell ref="B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shakil uddin</dc:creator>
  <cp:lastModifiedBy>shakil uddin</cp:lastModifiedBy>
  <dcterms:created xsi:type="dcterms:W3CDTF">2026-08-29T19:47:21Z</dcterms:created>
  <dcterms:modified xsi:type="dcterms:W3CDTF">2026-08-29T19:48:14Z</dcterms:modified>
</cp:coreProperties>
</file>